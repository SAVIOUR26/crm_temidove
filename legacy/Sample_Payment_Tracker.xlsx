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mona\Documents\Temidove\01_Temidove_System\"/>
    </mc:Choice>
  </mc:AlternateContent>
  <xr:revisionPtr revIDLastSave="0" documentId="13_ncr:1_{A16365B2-BC15-4358-8FC9-E2AE421159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uth_English_LEVEL 1 8_B_4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8" i="2" l="1"/>
  <c r="P38" i="2"/>
  <c r="L38" i="2"/>
  <c r="K38" i="2"/>
  <c r="G38" i="2"/>
  <c r="F38" i="2"/>
  <c r="Q6" i="2" s="1"/>
  <c r="O6" i="2" l="1"/>
</calcChain>
</file>

<file path=xl/sharedStrings.xml><?xml version="1.0" encoding="utf-8"?>
<sst xmlns="http://schemas.openxmlformats.org/spreadsheetml/2006/main" count="120" uniqueCount="42">
  <si>
    <t>TEMIDOVE SMART SOLUTIONS — Student Payment Tracker</t>
  </si>
  <si>
    <t xml:space="preserve">  PAYMENT REMINDER DASHBOARD</t>
  </si>
  <si>
    <t>Today's Date</t>
  </si>
  <si>
    <t>Month 1 Due Date</t>
  </si>
  <si>
    <t>Month 2 Due Date</t>
  </si>
  <si>
    <t>Month 3 Due Date</t>
  </si>
  <si>
    <t>Total Students</t>
  </si>
  <si>
    <t>Fully Paid (All 3)</t>
  </si>
  <si>
    <t>Has Overdue</t>
  </si>
  <si>
    <t>10/4/2026-10/5/2026</t>
  </si>
  <si>
    <t>10/5/2026-10/6/2026</t>
  </si>
  <si>
    <t>10/6/2026-10/7/2026</t>
  </si>
  <si>
    <t>STUDENT INFO</t>
  </si>
  <si>
    <t>MONTH 1 — April 2026</t>
  </si>
  <si>
    <t>MONTH 2 — May 2026</t>
  </si>
  <si>
    <t>MONTH 3 — June 2026</t>
  </si>
  <si>
    <t>NOTES</t>
  </si>
  <si>
    <t>No.</t>
  </si>
  <si>
    <t>Student Name</t>
  </si>
  <si>
    <t>Phone No.</t>
  </si>
  <si>
    <t>Start Date</t>
  </si>
  <si>
    <t>Due Date</t>
  </si>
  <si>
    <t>Status</t>
  </si>
  <si>
    <t>Date Paid</t>
  </si>
  <si>
    <t>Agency Name</t>
  </si>
  <si>
    <t>Agenecy No</t>
  </si>
  <si>
    <t>Agency No</t>
  </si>
  <si>
    <t>Notes</t>
  </si>
  <si>
    <t>PAID</t>
  </si>
  <si>
    <t>PENDING</t>
  </si>
  <si>
    <t>TOTALS</t>
  </si>
  <si>
    <t>LEGEND:</t>
  </si>
  <si>
    <t>✅ PAID</t>
  </si>
  <si>
    <t>❌ OVERDUE</t>
  </si>
  <si>
    <t>⏳ PENDING</t>
  </si>
  <si>
    <t>⚡ PARTIAL</t>
  </si>
  <si>
    <t>Amanuel</t>
  </si>
  <si>
    <t>45k</t>
  </si>
  <si>
    <t xml:space="preserve">Deglel </t>
  </si>
  <si>
    <t xml:space="preserve"> </t>
  </si>
  <si>
    <t>Agency Phoe No</t>
  </si>
  <si>
    <t>Batch: Ruth_Prelevel_Batch_4   |   Payment: 50,000 per month   |   3-Month Tracking: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</si>
</sst>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9"/>
      <color rgb="FFFFFFFF"/>
      <name val="Arial"/>
      <charset val="134"/>
    </font>
    <font>
      <b/>
      <sz val="11"/>
      <color rgb="FFFFFFFF"/>
      <name val="Arial"/>
      <charset val="134"/>
    </font>
    <font>
      <b/>
      <sz val="8"/>
      <color rgb="FFFFFFFF"/>
      <name val="Arial"/>
      <charset val="134"/>
    </font>
    <font>
      <b/>
      <sz val="10"/>
      <color rgb="FF0D1B3E"/>
      <name val="Arial"/>
      <charset val="134"/>
    </font>
    <font>
      <b/>
      <sz val="10"/>
      <color rgb="FF7B3F00"/>
      <name val="Arial"/>
      <charset val="134"/>
    </font>
    <font>
      <b/>
      <sz val="12"/>
      <color rgb="FF0D1B3E"/>
      <name val="Arial"/>
      <charset val="134"/>
    </font>
    <font>
      <b/>
      <sz val="12"/>
      <color rgb="FF1A7A3C"/>
      <name val="Arial"/>
      <charset val="134"/>
    </font>
    <font>
      <b/>
      <sz val="12"/>
      <color rgb="FFC0392B"/>
      <name val="Arial"/>
      <charset val="134"/>
    </font>
    <font>
      <b/>
      <sz val="9"/>
      <color rgb="FFFFFFFF"/>
      <name val="Arial"/>
      <charset val="134"/>
    </font>
    <font>
      <b/>
      <sz val="9"/>
      <color rgb="FF0D1B3E"/>
      <name val="Arial"/>
      <charset val="134"/>
    </font>
    <font>
      <sz val="9"/>
      <color rgb="FF0D1B3E"/>
      <name val="Arial"/>
      <charset val="134"/>
    </font>
    <font>
      <b/>
      <sz val="9"/>
      <color rgb="FF1A7A3C"/>
      <name val="Arial"/>
      <charset val="134"/>
    </font>
    <font>
      <sz val="9"/>
      <color rgb="FF1A7A3C"/>
      <name val="Arial"/>
      <charset val="134"/>
    </font>
    <font>
      <b/>
      <sz val="9"/>
      <color rgb="FF7B3F00"/>
      <name val="Arial"/>
      <charset val="134"/>
    </font>
    <font>
      <sz val="9"/>
      <color rgb="FF1A1A2E"/>
      <name val="Arial"/>
      <charset val="134"/>
    </font>
    <font>
      <sz val="9"/>
      <color rgb="FF4A5568"/>
      <name val="Arial"/>
      <charset val="134"/>
    </font>
    <font>
      <b/>
      <sz val="9"/>
      <color rgb="FFC0392B"/>
      <name val="Arial"/>
      <charset val="134"/>
    </font>
    <font>
      <b/>
      <sz val="8"/>
      <color rgb="FF1A7A3C"/>
      <name val="Arial"/>
      <charset val="134"/>
    </font>
    <font>
      <b/>
      <sz val="8"/>
      <color rgb="FFC0392B"/>
      <name val="Arial"/>
      <charset val="134"/>
    </font>
    <font>
      <b/>
      <sz val="8"/>
      <color rgb="FF7B3F00"/>
      <name val="Arial"/>
      <charset val="134"/>
    </font>
    <font>
      <b/>
      <sz val="8"/>
      <color rgb="FFE67E22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0D1B3E"/>
        <bgColor indexed="64"/>
      </patternFill>
    </fill>
    <fill>
      <patternFill patternType="solid">
        <fgColor rgb="FF00AEEF"/>
        <bgColor indexed="64"/>
      </patternFill>
    </fill>
    <fill>
      <patternFill patternType="solid">
        <fgColor rgb="FFBDC3C7"/>
        <bgColor indexed="64"/>
      </patternFill>
    </fill>
    <fill>
      <patternFill patternType="solid">
        <fgColor rgb="FF1A3560"/>
        <bgColor indexed="64"/>
      </patternFill>
    </fill>
    <fill>
      <patternFill patternType="solid">
        <fgColor rgb="FF0077B6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1A7A3C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1ECF1"/>
        <bgColor indexed="64"/>
      </patternFill>
    </fill>
  </fills>
  <borders count="6">
    <border>
      <left/>
      <right/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7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12" fillId="10" borderId="4" xfId="0" applyNumberFormat="1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8" fillId="13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19" fillId="12" borderId="4" xfId="0" applyFont="1" applyFill="1" applyBorder="1" applyAlignment="1">
      <alignment horizontal="center" vertical="center"/>
    </xf>
    <xf numFmtId="0" fontId="0" fillId="12" borderId="4" xfId="0" applyFill="1" applyBorder="1"/>
    <xf numFmtId="0" fontId="20" fillId="13" borderId="4" xfId="0" applyFont="1" applyFill="1" applyBorder="1" applyAlignment="1">
      <alignment horizontal="center" vertical="center"/>
    </xf>
    <xf numFmtId="0" fontId="0" fillId="13" borderId="4" xfId="0" applyFill="1" applyBorder="1"/>
    <xf numFmtId="0" fontId="21" fillId="11" borderId="4" xfId="0" applyFont="1" applyFill="1" applyBorder="1" applyAlignment="1">
      <alignment horizontal="center" vertical="center"/>
    </xf>
    <xf numFmtId="0" fontId="0" fillId="11" borderId="4" xfId="0" applyFill="1" applyBorder="1"/>
    <xf numFmtId="0" fontId="22" fillId="16" borderId="4" xfId="0" applyFont="1" applyFill="1" applyBorder="1" applyAlignment="1">
      <alignment horizontal="center" vertical="center"/>
    </xf>
    <xf numFmtId="0" fontId="0" fillId="16" borderId="4" xfId="0" applyFill="1" applyBorder="1"/>
    <xf numFmtId="0" fontId="0" fillId="16" borderId="0" xfId="0" applyFill="1"/>
    <xf numFmtId="0" fontId="10" fillId="3" borderId="1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4" fontId="16" fillId="14" borderId="4" xfId="0" applyNumberFormat="1" applyFont="1" applyFill="1" applyBorder="1" applyAlignment="1">
      <alignment horizontal="center" vertical="center"/>
    </xf>
    <xf numFmtId="14" fontId="12" fillId="17" borderId="4" xfId="0" applyNumberFormat="1" applyFont="1" applyFill="1" applyBorder="1" applyAlignment="1">
      <alignment horizontal="center" vertical="center"/>
    </xf>
    <xf numFmtId="14" fontId="12" fillId="18" borderId="4" xfId="0" applyNumberFormat="1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left" vertical="center"/>
    </xf>
    <xf numFmtId="0" fontId="16" fillId="14" borderId="5" xfId="0" applyFont="1" applyFill="1" applyBorder="1" applyAlignment="1">
      <alignment horizontal="left" vertical="center"/>
    </xf>
    <xf numFmtId="14" fontId="14" fillId="15" borderId="4" xfId="0" applyNumberFormat="1" applyFont="1" applyFill="1" applyBorder="1" applyAlignment="1">
      <alignment horizontal="center" vertical="center"/>
    </xf>
    <xf numFmtId="14" fontId="14" fillId="14" borderId="4" xfId="0" applyNumberFormat="1" applyFont="1" applyFill="1" applyBorder="1" applyAlignment="1">
      <alignment horizontal="center" vertical="center"/>
    </xf>
    <xf numFmtId="0" fontId="11" fillId="0" borderId="0" xfId="0" applyFont="1"/>
    <xf numFmtId="0" fontId="0" fillId="0" borderId="0" xfId="0"/>
    <xf numFmtId="0" fontId="9" fillId="13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5" fillId="10" borderId="0" xfId="0" applyNumberFormat="1" applyFont="1" applyFill="1" applyAlignment="1">
      <alignment horizontal="center" vertical="center"/>
    </xf>
    <xf numFmtId="14" fontId="6" fillId="11" borderId="0" xfId="0" applyNumberFormat="1" applyFont="1" applyFill="1" applyAlignment="1">
      <alignment horizontal="center" vertical="center"/>
    </xf>
    <xf numFmtId="14" fontId="6" fillId="11" borderId="0" xfId="0" applyNumberFormat="1" applyFont="1" applyFill="1" applyAlignment="1">
      <alignment horizontal="left" vertical="center" indent="14"/>
    </xf>
    <xf numFmtId="0" fontId="7" fillId="10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64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indent="12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59"/>
    </xf>
    <xf numFmtId="0" fontId="2" fillId="3" borderId="0" xfId="0" applyFont="1" applyFill="1" applyAlignment="1">
      <alignment horizontal="left" vertical="center" indent="62"/>
    </xf>
  </cellXfs>
  <cellStyles count="1">
    <cellStyle name="Normal" xfId="0" builtinId="0"/>
  </cellStyles>
  <dxfs count="15">
    <dxf>
      <font>
        <b/>
        <color rgb="FF7B3F00"/>
        <name val="Arial"/>
        <scheme val="none"/>
      </font>
      <fill>
        <patternFill patternType="solid">
          <fgColor rgb="FFFFF3CD"/>
        </patternFill>
      </fill>
    </dxf>
    <dxf>
      <font>
        <b/>
        <color rgb="FFE67E22"/>
        <name val="Arial"/>
        <scheme val="none"/>
      </font>
      <fill>
        <patternFill patternType="solid">
          <fgColor rgb="FFFDEBD0"/>
        </patternFill>
      </fill>
    </dxf>
    <dxf>
      <font>
        <b/>
        <color rgb="FFC0392B"/>
        <name val="Arial"/>
        <scheme val="none"/>
      </font>
      <fill>
        <patternFill patternType="solid">
          <fgColor rgb="FFFADBD8"/>
        </patternFill>
      </fill>
    </dxf>
    <dxf>
      <font>
        <b/>
        <color rgb="FF1A7A3C"/>
        <name val="Arial"/>
        <scheme val="none"/>
      </font>
      <fill>
        <patternFill patternType="solid">
          <fgColor rgb="FFD5F5E3"/>
        </patternFill>
      </fill>
    </dxf>
    <dxf>
      <font>
        <b/>
        <color rgb="FF7B3F00"/>
        <name val="Arial"/>
        <scheme val="none"/>
      </font>
      <fill>
        <patternFill patternType="solid">
          <fgColor rgb="FFFFE082"/>
        </patternFill>
      </fill>
    </dxf>
    <dxf>
      <font>
        <b/>
        <color rgb="FF7B3F00"/>
        <name val="Arial"/>
        <scheme val="none"/>
      </font>
      <fill>
        <patternFill patternType="solid">
          <fgColor rgb="FFFFF3CD"/>
        </patternFill>
      </fill>
    </dxf>
    <dxf>
      <font>
        <b/>
        <color rgb="FFE67E22"/>
        <name val="Arial"/>
        <scheme val="none"/>
      </font>
      <fill>
        <patternFill patternType="solid">
          <fgColor rgb="FFFDEBD0"/>
        </patternFill>
      </fill>
    </dxf>
    <dxf>
      <font>
        <b/>
        <color rgb="FFC0392B"/>
        <name val="Arial"/>
        <scheme val="none"/>
      </font>
      <fill>
        <patternFill patternType="solid">
          <fgColor rgb="FFFADBD8"/>
        </patternFill>
      </fill>
    </dxf>
    <dxf>
      <font>
        <b/>
        <color rgb="FF1A7A3C"/>
        <name val="Arial"/>
        <scheme val="none"/>
      </font>
      <fill>
        <patternFill patternType="solid">
          <fgColor rgb="FFD5F5E3"/>
        </patternFill>
      </fill>
    </dxf>
    <dxf>
      <font>
        <b/>
        <color rgb="FF7B3F00"/>
        <name val="Arial"/>
        <scheme val="none"/>
      </font>
      <fill>
        <patternFill patternType="solid">
          <fgColor rgb="FFFFE082"/>
        </patternFill>
      </fill>
    </dxf>
    <dxf>
      <font>
        <b/>
        <color rgb="FF7B3F00"/>
        <name val="Arial"/>
        <scheme val="none"/>
      </font>
      <fill>
        <patternFill patternType="solid">
          <fgColor rgb="FFFFF3CD"/>
        </patternFill>
      </fill>
    </dxf>
    <dxf>
      <font>
        <b/>
        <color rgb="FFE67E22"/>
        <name val="Arial"/>
        <scheme val="none"/>
      </font>
      <fill>
        <patternFill patternType="solid">
          <fgColor rgb="FFFDEBD0"/>
        </patternFill>
      </fill>
    </dxf>
    <dxf>
      <font>
        <b/>
        <color rgb="FFC0392B"/>
        <name val="Arial"/>
        <scheme val="none"/>
      </font>
      <fill>
        <patternFill patternType="solid">
          <fgColor rgb="FFFADBD8"/>
        </patternFill>
      </fill>
    </dxf>
    <dxf>
      <font>
        <b/>
        <color rgb="FF1A7A3C"/>
        <name val="Arial"/>
        <scheme val="none"/>
      </font>
      <fill>
        <patternFill patternType="solid">
          <fgColor rgb="FFD5F5E3"/>
        </patternFill>
      </fill>
    </dxf>
    <dxf>
      <font>
        <b/>
        <color rgb="FF7B3F00"/>
        <name val="Arial"/>
        <scheme val="none"/>
      </font>
      <fill>
        <patternFill patternType="solid">
          <fgColor rgb="FFFFE08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showGridLines="0" tabSelected="1" workbookViewId="0">
      <pane xSplit="4" ySplit="9" topLeftCell="E10" activePane="bottomRight" state="frozen"/>
      <selection pane="topRight"/>
      <selection pane="bottomLeft"/>
      <selection pane="bottomRight" activeCell="A2" sqref="A2:T2"/>
    </sheetView>
  </sheetViews>
  <sheetFormatPr defaultColWidth="9" defaultRowHeight="14.5"/>
  <cols>
    <col min="1" max="1" width="5" customWidth="1"/>
    <col min="2" max="2" width="24" customWidth="1"/>
    <col min="3" max="3" width="16.81640625" customWidth="1"/>
    <col min="4" max="5" width="16.1796875" customWidth="1"/>
    <col min="6" max="6" width="12" customWidth="1"/>
    <col min="7" max="9" width="14" customWidth="1"/>
    <col min="10" max="10" width="20.08984375" customWidth="1"/>
    <col min="11" max="11" width="12" customWidth="1"/>
    <col min="12" max="14" width="14" customWidth="1"/>
    <col min="15" max="15" width="13" customWidth="1"/>
    <col min="16" max="16" width="12" customWidth="1"/>
    <col min="17" max="19" width="14" customWidth="1"/>
    <col min="20" max="20" width="23.453125" customWidth="1"/>
  </cols>
  <sheetData>
    <row r="1" spans="1:20" ht="30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16" customHeight="1">
      <c r="A2" s="72" t="s">
        <v>41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8" customHeight="1"/>
    <row r="4" spans="1:20" ht="22" customHeight="1">
      <c r="A4" s="63" t="s">
        <v>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</row>
    <row r="5" spans="1:20" ht="18" customHeight="1">
      <c r="A5" s="64" t="s">
        <v>2</v>
      </c>
      <c r="B5" s="64"/>
      <c r="C5" s="65" t="s">
        <v>3</v>
      </c>
      <c r="D5" s="65"/>
      <c r="E5" s="66" t="s">
        <v>4</v>
      </c>
      <c r="F5" s="66"/>
      <c r="G5" s="67" t="s">
        <v>5</v>
      </c>
      <c r="H5" s="67"/>
      <c r="I5" s="67"/>
      <c r="J5" s="67"/>
      <c r="K5" s="68" t="s">
        <v>6</v>
      </c>
      <c r="L5" s="68"/>
      <c r="M5" s="1"/>
      <c r="N5" s="1"/>
      <c r="O5" s="69" t="s">
        <v>7</v>
      </c>
      <c r="P5" s="69"/>
      <c r="Q5" s="70" t="s">
        <v>8</v>
      </c>
      <c r="R5" s="70"/>
      <c r="S5" s="70"/>
      <c r="T5" s="70"/>
    </row>
    <row r="6" spans="1:20" ht="22" customHeight="1">
      <c r="A6" s="58"/>
      <c r="B6" s="58"/>
      <c r="C6" s="59" t="s">
        <v>9</v>
      </c>
      <c r="D6" s="59"/>
      <c r="E6" s="59" t="s">
        <v>10</v>
      </c>
      <c r="F6" s="59"/>
      <c r="G6" s="60" t="s">
        <v>11</v>
      </c>
      <c r="H6" s="60"/>
      <c r="I6" s="60"/>
      <c r="J6" s="60"/>
      <c r="K6" s="61">
        <v>29</v>
      </c>
      <c r="L6" s="61"/>
      <c r="M6" s="2"/>
      <c r="N6" s="2"/>
      <c r="O6" s="62">
        <f>COUNTIFS(F11:F38,"PAID",K11:K38,"PAID",P11:P38,"PAID")</f>
        <v>0</v>
      </c>
      <c r="P6" s="62"/>
      <c r="Q6" s="47">
        <f>COUNTIF(F11:F38,"OVERDUE")+COUNTIF(K11:K38,"OVERDUE")+COUNTIF(P11:P38,"OVERDUE")</f>
        <v>0</v>
      </c>
      <c r="R6" s="47"/>
      <c r="S6" s="47"/>
      <c r="T6" s="47"/>
    </row>
    <row r="7" spans="1:20" ht="8" customHeight="1"/>
    <row r="8" spans="1:20" ht="20" customHeight="1">
      <c r="A8" s="48" t="s">
        <v>12</v>
      </c>
      <c r="B8" s="49"/>
      <c r="C8" s="49"/>
      <c r="D8" s="50"/>
      <c r="E8" s="34" t="s">
        <v>13</v>
      </c>
      <c r="F8" s="35"/>
      <c r="G8" s="35"/>
      <c r="H8" s="36"/>
      <c r="I8" s="3"/>
      <c r="J8" s="51" t="s">
        <v>14</v>
      </c>
      <c r="K8" s="52"/>
      <c r="L8" s="52"/>
      <c r="M8" s="52"/>
      <c r="N8" s="53"/>
      <c r="O8" s="54" t="s">
        <v>15</v>
      </c>
      <c r="P8" s="55"/>
      <c r="Q8" s="55"/>
      <c r="R8" s="55"/>
      <c r="S8" s="56"/>
      <c r="T8" s="4" t="s">
        <v>16</v>
      </c>
    </row>
    <row r="9" spans="1:20" ht="18" customHeight="1">
      <c r="A9" s="5" t="s">
        <v>17</v>
      </c>
      <c r="B9" s="5" t="s">
        <v>18</v>
      </c>
      <c r="C9" s="5" t="s">
        <v>19</v>
      </c>
      <c r="D9" s="5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25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40</v>
      </c>
      <c r="O9" s="8" t="s">
        <v>21</v>
      </c>
      <c r="P9" s="8" t="s">
        <v>22</v>
      </c>
      <c r="Q9" s="8" t="s">
        <v>23</v>
      </c>
      <c r="R9" s="8" t="s">
        <v>24</v>
      </c>
      <c r="S9" s="8" t="s">
        <v>26</v>
      </c>
      <c r="T9" s="5" t="s">
        <v>27</v>
      </c>
    </row>
    <row r="10" spans="1:20" ht="18" customHeight="1">
      <c r="A10" s="19"/>
      <c r="B10" s="14"/>
      <c r="C10" s="20"/>
      <c r="D10" s="37"/>
      <c r="E10" s="9"/>
      <c r="F10" s="10" t="s">
        <v>28</v>
      </c>
      <c r="G10" s="11"/>
      <c r="H10" s="11"/>
      <c r="I10" s="11"/>
      <c r="J10" s="38"/>
      <c r="K10" s="12" t="s">
        <v>29</v>
      </c>
      <c r="L10" s="13"/>
      <c r="M10" s="13"/>
      <c r="N10" s="13"/>
      <c r="O10" s="39"/>
      <c r="P10" s="12" t="s">
        <v>29</v>
      </c>
      <c r="Q10" s="13"/>
      <c r="R10" s="13"/>
      <c r="S10" s="13"/>
      <c r="T10" s="14"/>
    </row>
    <row r="11" spans="1:20" ht="18" customHeight="1">
      <c r="A11" s="18"/>
      <c r="B11" s="17"/>
      <c r="C11" s="21"/>
      <c r="D11" s="37"/>
      <c r="E11" s="9"/>
      <c r="F11" s="10" t="s">
        <v>28</v>
      </c>
      <c r="G11" s="15"/>
      <c r="H11" s="15"/>
      <c r="I11" s="15"/>
      <c r="J11" s="38"/>
      <c r="K11" s="12" t="s">
        <v>29</v>
      </c>
      <c r="L11" s="16"/>
      <c r="M11" s="16"/>
      <c r="N11" s="16"/>
      <c r="O11" s="39"/>
      <c r="P11" s="12" t="s">
        <v>29</v>
      </c>
      <c r="Q11" s="16"/>
      <c r="R11" s="16"/>
      <c r="S11" s="16"/>
      <c r="T11" s="17"/>
    </row>
    <row r="12" spans="1:20" ht="18" customHeight="1">
      <c r="A12" s="19"/>
      <c r="B12" s="14"/>
      <c r="C12" s="20"/>
      <c r="D12" s="37"/>
      <c r="E12" s="9"/>
      <c r="F12" s="10" t="s">
        <v>28</v>
      </c>
      <c r="G12" s="11"/>
      <c r="H12" s="11"/>
      <c r="I12" s="11"/>
      <c r="J12" s="38"/>
      <c r="K12" s="12" t="s">
        <v>29</v>
      </c>
      <c r="L12" s="13"/>
      <c r="M12" s="13"/>
      <c r="N12" s="13"/>
      <c r="O12" s="39"/>
      <c r="P12" s="12" t="s">
        <v>29</v>
      </c>
      <c r="Q12" s="13"/>
      <c r="R12" s="13"/>
      <c r="S12" s="13"/>
      <c r="T12" s="14"/>
    </row>
    <row r="13" spans="1:20" ht="18" customHeight="1">
      <c r="A13" s="18"/>
      <c r="B13" s="17"/>
      <c r="C13" s="21"/>
      <c r="D13" s="37"/>
      <c r="E13" s="9"/>
      <c r="F13" s="10" t="s">
        <v>28</v>
      </c>
      <c r="G13" s="15"/>
      <c r="H13" s="15"/>
      <c r="I13" s="15"/>
      <c r="J13" s="38"/>
      <c r="K13" s="12" t="s">
        <v>29</v>
      </c>
      <c r="L13" s="16"/>
      <c r="M13" s="16"/>
      <c r="N13" s="16"/>
      <c r="O13" s="39"/>
      <c r="P13" s="12" t="s">
        <v>29</v>
      </c>
      <c r="Q13" s="16"/>
      <c r="R13" s="16"/>
      <c r="S13" s="16"/>
      <c r="T13" s="17"/>
    </row>
    <row r="14" spans="1:20" ht="18" customHeight="1">
      <c r="A14" s="19"/>
      <c r="B14" s="14"/>
      <c r="C14" s="20"/>
      <c r="D14" s="37"/>
      <c r="E14" s="9"/>
      <c r="F14" s="10" t="s">
        <v>28</v>
      </c>
      <c r="G14" s="11"/>
      <c r="H14" s="11"/>
      <c r="I14" s="11"/>
      <c r="J14" s="38"/>
      <c r="K14" s="12" t="s">
        <v>29</v>
      </c>
      <c r="L14" s="13"/>
      <c r="M14" s="13"/>
      <c r="N14" s="13"/>
      <c r="O14" s="39"/>
      <c r="P14" s="12" t="s">
        <v>29</v>
      </c>
      <c r="Q14" s="13"/>
      <c r="R14" s="13"/>
      <c r="S14" s="13"/>
      <c r="T14" s="14"/>
    </row>
    <row r="15" spans="1:20" ht="18" customHeight="1">
      <c r="A15" s="18"/>
      <c r="B15" s="17"/>
      <c r="C15" s="21"/>
      <c r="D15" s="37"/>
      <c r="E15" s="9"/>
      <c r="F15" s="10" t="s">
        <v>28</v>
      </c>
      <c r="G15" s="15"/>
      <c r="H15" s="15"/>
      <c r="I15" s="15"/>
      <c r="J15" s="38"/>
      <c r="K15" s="12" t="s">
        <v>29</v>
      </c>
      <c r="L15" s="16"/>
      <c r="M15" s="16"/>
      <c r="N15" s="16"/>
      <c r="O15" s="39"/>
      <c r="P15" s="12" t="s">
        <v>29</v>
      </c>
      <c r="Q15" s="16"/>
      <c r="R15" s="16"/>
      <c r="S15" s="16"/>
      <c r="T15" s="17"/>
    </row>
    <row r="16" spans="1:20" ht="18" customHeight="1">
      <c r="A16" s="19"/>
      <c r="B16" s="14"/>
      <c r="C16" s="20"/>
      <c r="D16" s="37"/>
      <c r="E16" s="9"/>
      <c r="F16" s="10" t="s">
        <v>28</v>
      </c>
      <c r="G16" s="11"/>
      <c r="H16" s="11"/>
      <c r="I16" s="11"/>
      <c r="J16" s="38"/>
      <c r="K16" s="12" t="s">
        <v>29</v>
      </c>
      <c r="L16" s="13"/>
      <c r="M16" s="13"/>
      <c r="N16" s="13"/>
      <c r="O16" s="39"/>
      <c r="P16" s="12" t="s">
        <v>29</v>
      </c>
      <c r="Q16" s="13"/>
      <c r="R16" s="13"/>
      <c r="S16" s="13"/>
      <c r="T16" s="14"/>
    </row>
    <row r="17" spans="1:20" ht="18" customHeight="1">
      <c r="A17" s="18"/>
      <c r="B17" s="17"/>
      <c r="C17" s="21"/>
      <c r="D17" s="37"/>
      <c r="E17" s="9"/>
      <c r="F17" s="10" t="s">
        <v>28</v>
      </c>
      <c r="G17" s="15"/>
      <c r="H17" s="15" t="s">
        <v>36</v>
      </c>
      <c r="I17" s="15" t="s">
        <v>37</v>
      </c>
      <c r="J17" s="38"/>
      <c r="K17" s="12" t="s">
        <v>29</v>
      </c>
      <c r="L17" s="16"/>
      <c r="M17" s="16"/>
      <c r="N17" s="16"/>
      <c r="O17" s="39"/>
      <c r="P17" s="12" t="s">
        <v>29</v>
      </c>
      <c r="Q17" s="16"/>
      <c r="R17" s="16"/>
      <c r="S17" s="16"/>
      <c r="T17" s="17"/>
    </row>
    <row r="18" spans="1:20" ht="18" customHeight="1">
      <c r="A18" s="19"/>
      <c r="B18" s="14"/>
      <c r="C18" s="20"/>
      <c r="D18" s="37"/>
      <c r="E18" s="9"/>
      <c r="F18" s="10" t="s">
        <v>39</v>
      </c>
      <c r="G18" s="11"/>
      <c r="H18" s="11"/>
      <c r="I18" s="11"/>
      <c r="J18" s="38"/>
      <c r="K18" s="12" t="s">
        <v>29</v>
      </c>
      <c r="L18" s="13"/>
      <c r="M18" s="13"/>
      <c r="N18" s="13"/>
      <c r="O18" s="39"/>
      <c r="P18" s="12" t="s">
        <v>29</v>
      </c>
      <c r="Q18" s="13"/>
      <c r="R18" s="13"/>
      <c r="S18" s="13"/>
      <c r="T18" s="14"/>
    </row>
    <row r="19" spans="1:20" ht="18" customHeight="1">
      <c r="A19" s="18"/>
      <c r="B19" s="17"/>
      <c r="C19" s="21"/>
      <c r="D19" s="37"/>
      <c r="E19" s="9"/>
      <c r="F19" s="10" t="s">
        <v>28</v>
      </c>
      <c r="G19" s="43"/>
      <c r="H19" s="15"/>
      <c r="I19" s="15"/>
      <c r="J19" s="38"/>
      <c r="K19" s="12" t="s">
        <v>29</v>
      </c>
      <c r="L19" s="16"/>
      <c r="M19" s="16"/>
      <c r="N19" s="16"/>
      <c r="O19" s="39"/>
      <c r="P19" s="12" t="s">
        <v>29</v>
      </c>
      <c r="Q19" s="16"/>
      <c r="R19" s="16"/>
      <c r="S19" s="16"/>
      <c r="T19" s="17"/>
    </row>
    <row r="20" spans="1:20" ht="18" customHeight="1">
      <c r="A20" s="19"/>
      <c r="B20" s="14"/>
      <c r="C20" s="20"/>
      <c r="D20" s="37"/>
      <c r="E20" s="9"/>
      <c r="F20" s="10" t="s">
        <v>28</v>
      </c>
      <c r="G20" s="44"/>
      <c r="H20" s="11"/>
      <c r="I20" s="11"/>
      <c r="J20" s="38"/>
      <c r="K20" s="12" t="s">
        <v>29</v>
      </c>
      <c r="L20" s="13"/>
      <c r="M20" s="13"/>
      <c r="N20" s="13"/>
      <c r="O20" s="39"/>
      <c r="P20" s="12" t="s">
        <v>29</v>
      </c>
      <c r="Q20" s="13"/>
      <c r="R20" s="13"/>
      <c r="S20" s="13"/>
      <c r="T20" s="14"/>
    </row>
    <row r="21" spans="1:20" ht="18" customHeight="1">
      <c r="A21" s="18"/>
      <c r="B21" s="17"/>
      <c r="C21" s="21"/>
      <c r="D21" s="37"/>
      <c r="E21" s="9"/>
      <c r="F21" s="10" t="s">
        <v>28</v>
      </c>
      <c r="G21" s="15"/>
      <c r="H21" s="15"/>
      <c r="I21" s="15"/>
      <c r="J21" s="38"/>
      <c r="K21" s="12" t="s">
        <v>29</v>
      </c>
      <c r="L21" s="16"/>
      <c r="M21" s="16"/>
      <c r="N21" s="16"/>
      <c r="O21" s="39"/>
      <c r="P21" s="12" t="s">
        <v>29</v>
      </c>
      <c r="Q21" s="16"/>
      <c r="R21" s="16"/>
      <c r="S21" s="16"/>
      <c r="T21" s="17"/>
    </row>
    <row r="22" spans="1:20" ht="18" customHeight="1">
      <c r="A22" s="19"/>
      <c r="B22" s="14"/>
      <c r="C22" s="20"/>
      <c r="D22" s="37"/>
      <c r="E22" s="9"/>
      <c r="F22" s="10" t="s">
        <v>28</v>
      </c>
      <c r="G22" s="44"/>
      <c r="H22" s="11"/>
      <c r="I22" s="11"/>
      <c r="J22" s="38"/>
      <c r="K22" s="12" t="s">
        <v>29</v>
      </c>
      <c r="L22" s="13"/>
      <c r="M22" s="13"/>
      <c r="N22" s="13"/>
      <c r="O22" s="39"/>
      <c r="P22" s="12" t="s">
        <v>29</v>
      </c>
      <c r="Q22" s="13"/>
      <c r="R22" s="13"/>
      <c r="S22" s="13"/>
      <c r="T22" s="14"/>
    </row>
    <row r="23" spans="1:20" ht="18" customHeight="1">
      <c r="A23" s="18"/>
      <c r="B23" s="17"/>
      <c r="C23" s="21"/>
      <c r="D23" s="37"/>
      <c r="E23" s="9"/>
      <c r="F23" s="10" t="s">
        <v>28</v>
      </c>
      <c r="G23" s="15"/>
      <c r="H23" s="15"/>
      <c r="I23" s="15"/>
      <c r="J23" s="38"/>
      <c r="K23" s="12" t="s">
        <v>29</v>
      </c>
      <c r="L23" s="16"/>
      <c r="M23" s="16"/>
      <c r="N23" s="16"/>
      <c r="O23" s="39"/>
      <c r="P23" s="12" t="s">
        <v>29</v>
      </c>
      <c r="Q23" s="16"/>
      <c r="R23" s="16"/>
      <c r="S23" s="16"/>
      <c r="T23" s="17"/>
    </row>
    <row r="24" spans="1:20" ht="18" customHeight="1">
      <c r="A24" s="19"/>
      <c r="B24" s="14"/>
      <c r="C24" s="20"/>
      <c r="D24" s="37"/>
      <c r="E24" s="9"/>
      <c r="F24" s="10" t="s">
        <v>28</v>
      </c>
      <c r="G24" s="11"/>
      <c r="H24" s="11"/>
      <c r="I24" s="11"/>
      <c r="J24" s="38"/>
      <c r="K24" s="12" t="s">
        <v>29</v>
      </c>
      <c r="L24" s="13"/>
      <c r="M24" s="13"/>
      <c r="N24" s="13"/>
      <c r="O24" s="39"/>
      <c r="P24" s="12" t="s">
        <v>29</v>
      </c>
      <c r="Q24" s="13"/>
      <c r="R24" s="13"/>
      <c r="S24" s="13"/>
      <c r="T24" s="14"/>
    </row>
    <row r="25" spans="1:20" ht="18" customHeight="1">
      <c r="A25" s="18"/>
      <c r="B25" s="17"/>
      <c r="C25" s="21"/>
      <c r="D25" s="37"/>
      <c r="E25" s="9"/>
      <c r="F25" s="10" t="s">
        <v>28</v>
      </c>
      <c r="G25" s="15"/>
      <c r="H25" s="15"/>
      <c r="I25" s="15"/>
      <c r="J25" s="38"/>
      <c r="K25" s="12" t="s">
        <v>29</v>
      </c>
      <c r="L25" s="16"/>
      <c r="M25" s="16"/>
      <c r="N25" s="16"/>
      <c r="O25" s="39"/>
      <c r="P25" s="12" t="s">
        <v>29</v>
      </c>
      <c r="Q25" s="16"/>
      <c r="R25" s="16"/>
      <c r="S25" s="16"/>
      <c r="T25" s="17"/>
    </row>
    <row r="26" spans="1:20" ht="18" customHeight="1">
      <c r="A26" s="19"/>
      <c r="B26" s="14"/>
      <c r="C26" s="20"/>
      <c r="D26" s="37"/>
      <c r="E26" s="9"/>
      <c r="F26" s="10" t="s">
        <v>28</v>
      </c>
      <c r="G26" s="11"/>
      <c r="H26" s="11"/>
      <c r="I26" s="11"/>
      <c r="J26" s="38"/>
      <c r="K26" s="12" t="s">
        <v>29</v>
      </c>
      <c r="L26" s="13"/>
      <c r="M26" s="13"/>
      <c r="N26" s="13"/>
      <c r="O26" s="39"/>
      <c r="P26" s="12" t="s">
        <v>29</v>
      </c>
      <c r="Q26" s="13"/>
      <c r="R26" s="13"/>
      <c r="S26" s="13"/>
      <c r="T26" s="14"/>
    </row>
    <row r="27" spans="1:20" ht="18" customHeight="1">
      <c r="A27" s="18"/>
      <c r="B27" s="17"/>
      <c r="C27" s="21"/>
      <c r="D27" s="37"/>
      <c r="E27" s="9"/>
      <c r="F27" s="10" t="s">
        <v>28</v>
      </c>
      <c r="G27" s="15"/>
      <c r="H27" s="15" t="s">
        <v>38</v>
      </c>
      <c r="I27" s="15" t="s">
        <v>37</v>
      </c>
      <c r="J27" s="38"/>
      <c r="K27" s="12" t="s">
        <v>29</v>
      </c>
      <c r="L27" s="16"/>
      <c r="M27" s="16"/>
      <c r="N27" s="16"/>
      <c r="O27" s="39"/>
      <c r="P27" s="12" t="s">
        <v>29</v>
      </c>
      <c r="Q27" s="16"/>
      <c r="R27" s="16"/>
      <c r="S27" s="16"/>
      <c r="T27" s="17"/>
    </row>
    <row r="28" spans="1:20" ht="18" customHeight="1">
      <c r="A28" s="19"/>
      <c r="B28" s="14"/>
      <c r="C28" s="20"/>
      <c r="D28" s="37"/>
      <c r="E28" s="9"/>
      <c r="F28" s="10" t="s">
        <v>28</v>
      </c>
      <c r="G28" s="11"/>
      <c r="H28" s="11"/>
      <c r="I28" s="11"/>
      <c r="J28" s="38"/>
      <c r="K28" s="12" t="s">
        <v>29</v>
      </c>
      <c r="L28" s="13"/>
      <c r="M28" s="13"/>
      <c r="N28" s="13"/>
      <c r="O28" s="39"/>
      <c r="P28" s="12" t="s">
        <v>29</v>
      </c>
      <c r="Q28" s="13"/>
      <c r="R28" s="13"/>
      <c r="S28" s="13"/>
      <c r="T28" s="14"/>
    </row>
    <row r="29" spans="1:20" ht="18" customHeight="1">
      <c r="A29" s="18"/>
      <c r="B29" s="17"/>
      <c r="C29" s="21"/>
      <c r="D29" s="37"/>
      <c r="E29" s="9"/>
      <c r="F29" s="10" t="s">
        <v>28</v>
      </c>
      <c r="G29" s="15"/>
      <c r="H29" s="15"/>
      <c r="I29" s="15"/>
      <c r="J29" s="38"/>
      <c r="K29" s="12" t="s">
        <v>29</v>
      </c>
      <c r="L29" s="16"/>
      <c r="M29" s="16"/>
      <c r="N29" s="16"/>
      <c r="O29" s="39"/>
      <c r="P29" s="12" t="s">
        <v>29</v>
      </c>
      <c r="Q29" s="16"/>
      <c r="R29" s="16"/>
      <c r="S29" s="16"/>
      <c r="T29" s="17"/>
    </row>
    <row r="30" spans="1:20" ht="18" customHeight="1">
      <c r="A30" s="19"/>
      <c r="B30" s="14"/>
      <c r="C30" s="20"/>
      <c r="D30" s="37"/>
      <c r="E30" s="9"/>
      <c r="F30" s="10" t="s">
        <v>28</v>
      </c>
      <c r="G30" s="11"/>
      <c r="H30" s="11"/>
      <c r="I30" s="11"/>
      <c r="J30" s="38"/>
      <c r="K30" s="12" t="s">
        <v>29</v>
      </c>
      <c r="L30" s="13"/>
      <c r="M30" s="13"/>
      <c r="N30" s="13"/>
      <c r="O30" s="39"/>
      <c r="P30" s="12" t="s">
        <v>29</v>
      </c>
      <c r="Q30" s="13"/>
      <c r="R30" s="13"/>
      <c r="S30" s="13"/>
      <c r="T30" s="14"/>
    </row>
    <row r="31" spans="1:20" ht="18" customHeight="1">
      <c r="A31" s="40"/>
      <c r="B31" s="41"/>
      <c r="C31" s="20"/>
      <c r="D31" s="37"/>
      <c r="E31" s="9"/>
      <c r="F31" s="10" t="s">
        <v>28</v>
      </c>
      <c r="G31" s="11"/>
      <c r="H31" s="11"/>
      <c r="I31" s="11"/>
      <c r="J31" s="38"/>
      <c r="K31" s="12"/>
      <c r="L31" s="13"/>
      <c r="M31" s="13"/>
      <c r="N31" s="13"/>
      <c r="O31" s="39"/>
      <c r="P31" s="12"/>
      <c r="Q31" s="13"/>
      <c r="R31" s="13"/>
      <c r="S31" s="13"/>
      <c r="T31" s="14"/>
    </row>
    <row r="32" spans="1:20" ht="18" customHeight="1">
      <c r="A32" s="19"/>
      <c r="B32" s="14"/>
      <c r="C32" s="20"/>
      <c r="D32" s="37"/>
      <c r="E32" s="9"/>
      <c r="F32" s="10" t="s">
        <v>28</v>
      </c>
      <c r="G32" s="11"/>
      <c r="H32" s="11"/>
      <c r="I32" s="11"/>
      <c r="J32" s="38"/>
      <c r="K32" s="12"/>
      <c r="L32" s="13"/>
      <c r="M32" s="13"/>
      <c r="N32" s="13"/>
      <c r="O32" s="39"/>
      <c r="P32" s="12"/>
      <c r="Q32" s="13"/>
      <c r="R32" s="13"/>
      <c r="S32" s="13"/>
      <c r="T32" s="14"/>
    </row>
    <row r="33" spans="1:20" ht="18" customHeight="1">
      <c r="A33" s="19"/>
      <c r="B33" s="14"/>
      <c r="C33" s="20"/>
      <c r="D33" s="37"/>
      <c r="E33" s="9"/>
      <c r="F33" s="10" t="s">
        <v>28</v>
      </c>
      <c r="G33" s="11"/>
      <c r="H33" s="11"/>
      <c r="I33" s="11"/>
      <c r="J33" s="38"/>
      <c r="K33" s="12"/>
      <c r="L33" s="13"/>
      <c r="M33" s="13"/>
      <c r="N33" s="13"/>
      <c r="O33" s="39"/>
      <c r="P33" s="12"/>
      <c r="Q33" s="13"/>
      <c r="R33" s="13"/>
      <c r="S33" s="13"/>
      <c r="T33" s="14"/>
    </row>
    <row r="34" spans="1:20" ht="18" customHeight="1">
      <c r="A34" s="19"/>
      <c r="B34" s="14"/>
      <c r="C34" s="20"/>
      <c r="D34" s="37"/>
      <c r="E34" s="9"/>
      <c r="F34" s="10" t="s">
        <v>28</v>
      </c>
      <c r="G34" s="11"/>
      <c r="H34" s="11"/>
      <c r="I34" s="11"/>
      <c r="J34" s="38"/>
      <c r="K34" s="12"/>
      <c r="L34" s="13"/>
      <c r="M34" s="13"/>
      <c r="N34" s="13"/>
      <c r="O34" s="39"/>
      <c r="P34" s="12"/>
      <c r="Q34" s="13"/>
      <c r="R34" s="13"/>
      <c r="S34" s="13"/>
      <c r="T34" s="14"/>
    </row>
    <row r="35" spans="1:20" ht="18" customHeight="1">
      <c r="A35" s="19"/>
      <c r="B35" s="14"/>
      <c r="C35" s="20"/>
      <c r="D35" s="37"/>
      <c r="E35" s="9"/>
      <c r="F35" s="10" t="s">
        <v>28</v>
      </c>
      <c r="G35" s="11"/>
      <c r="H35" s="11"/>
      <c r="I35" s="11"/>
      <c r="J35" s="38"/>
      <c r="K35" s="12"/>
      <c r="L35" s="13"/>
      <c r="M35" s="13"/>
      <c r="N35" s="13"/>
      <c r="O35" s="39"/>
      <c r="P35" s="12"/>
      <c r="Q35" s="13"/>
      <c r="R35" s="13"/>
      <c r="S35" s="13"/>
      <c r="T35" s="14"/>
    </row>
    <row r="36" spans="1:20" ht="18" customHeight="1">
      <c r="A36" s="19"/>
      <c r="B36" s="42"/>
      <c r="C36" s="20"/>
      <c r="D36" s="37"/>
      <c r="E36" s="9"/>
      <c r="F36" s="10" t="s">
        <v>28</v>
      </c>
      <c r="G36" s="11"/>
      <c r="H36" s="11"/>
      <c r="I36" s="11"/>
      <c r="J36" s="38"/>
      <c r="K36" s="12"/>
      <c r="L36" s="13"/>
      <c r="M36" s="13"/>
      <c r="N36" s="13"/>
      <c r="O36" s="39"/>
      <c r="P36" s="12"/>
      <c r="Q36" s="13"/>
      <c r="R36" s="13"/>
      <c r="S36" s="13"/>
      <c r="T36" s="14"/>
    </row>
    <row r="37" spans="1:20" ht="18" customHeight="1">
      <c r="A37" s="18"/>
      <c r="B37" s="42"/>
      <c r="C37" s="21"/>
      <c r="D37" s="37"/>
      <c r="E37" s="9"/>
      <c r="F37" s="10" t="s">
        <v>28</v>
      </c>
      <c r="G37" s="43"/>
      <c r="H37" s="15"/>
      <c r="I37" s="15"/>
      <c r="J37" s="38"/>
      <c r="K37" s="12" t="s">
        <v>29</v>
      </c>
      <c r="L37" s="16"/>
      <c r="M37" s="16"/>
      <c r="N37" s="16"/>
      <c r="O37" s="39"/>
      <c r="P37" s="12" t="s">
        <v>29</v>
      </c>
      <c r="Q37" s="16"/>
      <c r="R37" s="16"/>
      <c r="S37" s="16"/>
      <c r="T37" s="17"/>
    </row>
    <row r="38" spans="1:20" ht="20" customHeight="1">
      <c r="A38" s="57" t="s">
        <v>30</v>
      </c>
      <c r="B38" s="46"/>
      <c r="C38" s="46"/>
      <c r="D38" s="46"/>
      <c r="E38" s="22"/>
      <c r="F38" s="10">
        <f>COUNTIF(F10:F37,"PAID")</f>
        <v>27</v>
      </c>
      <c r="G38" s="23">
        <f>COUNTIF(F10:F37,"OVERDUE")</f>
        <v>0</v>
      </c>
      <c r="H38" s="23"/>
      <c r="I38" s="23"/>
      <c r="J38" s="22"/>
      <c r="K38" s="10">
        <f>COUNTIF(K10:K37,"PAID")</f>
        <v>0</v>
      </c>
      <c r="L38" s="23">
        <f>COUNTIF(K10:K37,"OVERDUE")</f>
        <v>0</v>
      </c>
      <c r="M38" s="23"/>
      <c r="N38" s="23"/>
      <c r="O38" s="22"/>
      <c r="P38" s="10">
        <f>COUNTIF(P10:P37,"PAID")</f>
        <v>0</v>
      </c>
      <c r="Q38" s="23">
        <f>COUNTIF(P10:P37,"OVERDUE")</f>
        <v>0</v>
      </c>
      <c r="R38" s="23"/>
      <c r="S38" s="23"/>
      <c r="T38" s="24"/>
    </row>
    <row r="40" spans="1:20" ht="18" customHeight="1">
      <c r="A40" s="45" t="s">
        <v>31</v>
      </c>
      <c r="B40" s="46"/>
      <c r="C40" s="25" t="s">
        <v>32</v>
      </c>
      <c r="D40" s="26"/>
      <c r="E40" s="27" t="s">
        <v>33</v>
      </c>
      <c r="F40" s="28"/>
      <c r="G40" s="29" t="s">
        <v>34</v>
      </c>
      <c r="H40" s="29"/>
      <c r="I40" s="29"/>
      <c r="J40" s="30"/>
      <c r="K40" s="31" t="s">
        <v>35</v>
      </c>
      <c r="L40" s="32"/>
      <c r="M40" s="33"/>
      <c r="N40" s="33"/>
    </row>
  </sheetData>
  <mergeCells count="22">
    <mergeCell ref="A1:T1"/>
    <mergeCell ref="A2:T2"/>
    <mergeCell ref="A4:T4"/>
    <mergeCell ref="A5:B5"/>
    <mergeCell ref="C5:D5"/>
    <mergeCell ref="E5:F5"/>
    <mergeCell ref="G5:J5"/>
    <mergeCell ref="K5:L5"/>
    <mergeCell ref="O5:P5"/>
    <mergeCell ref="Q5:T5"/>
    <mergeCell ref="A38:D38"/>
    <mergeCell ref="A40:B40"/>
    <mergeCell ref="O6:P6"/>
    <mergeCell ref="Q6:T6"/>
    <mergeCell ref="A8:D8"/>
    <mergeCell ref="J8:N8"/>
    <mergeCell ref="O8:S8"/>
    <mergeCell ref="A6:B6"/>
    <mergeCell ref="C6:D6"/>
    <mergeCell ref="E6:F6"/>
    <mergeCell ref="G6:J6"/>
    <mergeCell ref="K6:L6"/>
  </mergeCells>
  <conditionalFormatting sqref="E10:E37">
    <cfRule type="expression" dxfId="14" priority="13">
      <formula>AND($C$6-TODAY()&lt;=7,$C$6-TODAY()&gt;=0,$F10&lt;&gt;"PAID")</formula>
    </cfRule>
  </conditionalFormatting>
  <conditionalFormatting sqref="F10:F37">
    <cfRule type="expression" dxfId="13" priority="1">
      <formula>$F10="PAID"</formula>
    </cfRule>
    <cfRule type="expression" dxfId="12" priority="2">
      <formula>$F10="OVERDUE"</formula>
    </cfRule>
    <cfRule type="expression" dxfId="11" priority="3">
      <formula>$F10="PARTIAL"</formula>
    </cfRule>
    <cfRule type="expression" dxfId="10" priority="4">
      <formula>$F10="PENDING"</formula>
    </cfRule>
  </conditionalFormatting>
  <conditionalFormatting sqref="J10:J37">
    <cfRule type="expression" dxfId="9" priority="14">
      <formula>AND($E$6-TODAY()&lt;=7,$E$6-TODAY()&gt;=0,$K10&lt;&gt;"PAID")</formula>
    </cfRule>
  </conditionalFormatting>
  <conditionalFormatting sqref="K10:K37">
    <cfRule type="expression" dxfId="8" priority="5">
      <formula>$K10="PAID"</formula>
    </cfRule>
    <cfRule type="expression" dxfId="7" priority="6">
      <formula>$K10="OVERDUE"</formula>
    </cfRule>
    <cfRule type="expression" dxfId="6" priority="7">
      <formula>$K10="PARTIAL"</formula>
    </cfRule>
    <cfRule type="expression" dxfId="5" priority="8">
      <formula>$K10="PENDING"</formula>
    </cfRule>
  </conditionalFormatting>
  <conditionalFormatting sqref="O10:O37">
    <cfRule type="expression" dxfId="4" priority="15">
      <formula>AND($G$6-TODAY()&lt;=7,$G$6-TODAY()&gt;=0,$P10&lt;&gt;"PAID")</formula>
    </cfRule>
  </conditionalFormatting>
  <conditionalFormatting sqref="P10:P37">
    <cfRule type="expression" dxfId="3" priority="9">
      <formula>$P10="PAID"</formula>
    </cfRule>
    <cfRule type="expression" dxfId="2" priority="10">
      <formula>$P10="OVERDUE"</formula>
    </cfRule>
    <cfRule type="expression" dxfId="1" priority="11">
      <formula>$P10="PARTIAL"</formula>
    </cfRule>
    <cfRule type="expression" dxfId="0" priority="12">
      <formula>$P10="PENDING"</formula>
    </cfRule>
  </conditionalFormatting>
  <dataValidations count="1">
    <dataValidation type="list" allowBlank="1" sqref="P10:P37 K10:K37 F10:F37" xr:uid="{00000000-0002-0000-0100-000000000000}">
      <formula1>"PAID,OVERDUE,PENDING,PARTIAL"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Ruth_English_LEVEL 1 8_B_4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Philmona</cp:lastModifiedBy>
  <dcterms:created xsi:type="dcterms:W3CDTF">2006-09-16T00:00:00Z</dcterms:created>
  <dcterms:modified xsi:type="dcterms:W3CDTF">2026-06-18T12:39:02Z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481AC48554774D7493427788FB78AAA7_12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